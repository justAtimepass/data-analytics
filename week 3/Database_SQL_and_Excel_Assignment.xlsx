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Guide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Filtered View" sheetId="3" state="visible" r:id="rId3"/>
    <sheet xmlns:r="http://schemas.openxmlformats.org/officeDocument/2006/relationships" name="Functions" sheetId="4" state="visible" r:id="rId4"/>
    <sheet xmlns:r="http://schemas.openxmlformats.org/officeDocument/2006/relationships" name="Lookup Tables" sheetId="5" state="visible" r:id="rId5"/>
    <sheet xmlns:r="http://schemas.openxmlformats.org/officeDocument/2006/relationships" name="Sales Data" sheetId="6" state="visible" r:id="rId6"/>
    <sheet xmlns:r="http://schemas.openxmlformats.org/officeDocument/2006/relationships" name="Product Data" sheetId="7" state="visible" r:id="rId7"/>
    <sheet xmlns:r="http://schemas.openxmlformats.org/officeDocument/2006/relationships" name="Pivot Summary" sheetId="8" state="visible" r:id="rId8"/>
    <sheet xmlns:r="http://schemas.openxmlformats.org/officeDocument/2006/relationships" name="Analysis Summary" sheetId="9" state="visible" r:id="rId9"/>
  </sheets>
  <definedNames>
    <definedName name="_xlnm._FilterDatabase" localSheetId="1" hidden="1">'Employee Data'!$A$1:$G$13</definedName>
    <definedName name="_xlnm._FilterDatabase" localSheetId="2" hidden="1">'Filtered View'!$A$1:$G$10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Summary'!$A$2:$A$6</f>
            </numRef>
          </cat>
          <val>
            <numRef>
              <f>'Pivot Summary'!$D$2:$D$6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Salary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Table" displayName="EmployeeTable" ref="A1:G13" headerRowCount="1">
  <autoFilter ref="A1:G13"/>
  <tableColumns count="7">
    <tableColumn id="1" name="Employee ID"/>
    <tableColumn id="2" name="Name"/>
    <tableColumn id="3" name="Department"/>
    <tableColumn id="4" name="Salary"/>
    <tableColumn id="5" name="City"/>
    <tableColumn id="6" name="Performance"/>
    <tableColumn id="7" name="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mployeeLookup" displayName="EmployeeLookup" ref="A1:D13" headerRowCount="1">
  <autoFilter ref="A1:D13"/>
  <tableColumns count="4">
    <tableColumn id="1" name="Employee ID"/>
    <tableColumn id="2" name="Name"/>
    <tableColumn id="3" name="Department"/>
    <tableColumn id="4" name="Salary"/>
  </tableColumns>
  <tableStyleInfo name="TableStyleMedium4" showRowStripes="1"/>
</table>
</file>

<file path=xl/tables/table3.xml><?xml version="1.0" encoding="utf-8"?>
<table xmlns="http://schemas.openxmlformats.org/spreadsheetml/2006/main" id="3" name="SalesTable" displayName="SalesTable" ref="A1:E13" headerRowCount="1">
  <autoFilter ref="A1:E13"/>
  <tableColumns count="5">
    <tableColumn id="1" name="Sale ID"/>
    <tableColumn id="2" name="Employee ID"/>
    <tableColumn id="3" name="Product ID"/>
    <tableColumn id="4" name="Quantity"/>
    <tableColumn id="5" name="Sales 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5" customWidth="1" min="2" max="2"/>
  </cols>
  <sheetData>
    <row r="1">
      <c r="A1" s="1" t="inlineStr">
        <is>
          <t>Task</t>
        </is>
      </c>
      <c r="B1" s="1" t="inlineStr">
        <is>
          <t>What is included</t>
        </is>
      </c>
    </row>
    <row r="2">
      <c r="A2" t="inlineStr">
        <is>
          <t>Task 6</t>
        </is>
      </c>
      <c r="B2" t="inlineStr">
        <is>
          <t>Employee Data sheet is formatted as an Excel Table with styled headers, number formatting, sorting/filter-ready columns, and Filtered View shows Salary &gt; ₹50,000.</t>
        </is>
      </c>
    </row>
    <row r="3">
      <c r="A3" t="inlineStr">
        <is>
          <t>Task 7</t>
        </is>
      </c>
      <c r="B3" t="inlineStr">
        <is>
          <t>Conditional formatting highlights performance &gt;= 90 and &lt; 70. Functions sheet demonstrates IF(), COUNTIF(), and SUMIF().</t>
        </is>
      </c>
    </row>
    <row r="4">
      <c r="A4" t="inlineStr">
        <is>
          <t>Task 8</t>
        </is>
      </c>
      <c r="B4" t="inlineStr">
        <is>
          <t>Lookup Tables sheet demonstrates VLOOKUP() and XLOOKUP() using Employee ID 105.</t>
        </is>
      </c>
    </row>
    <row r="5">
      <c r="A5" t="inlineStr">
        <is>
          <t>Task 9</t>
        </is>
      </c>
      <c r="B5" t="inlineStr">
        <is>
          <t>Pivot Summary provides a pivot-style department summary and a chart of total salary by department. In Excel, the raw Employee Data can also be converted to a native PivotTable via Insert &gt; PivotTable.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2" t="inlineStr">
        <is>
          <t>Employee ID</t>
        </is>
      </c>
      <c r="B1" s="2" t="inlineStr">
        <is>
          <t>Name</t>
        </is>
      </c>
      <c r="C1" s="2" t="inlineStr">
        <is>
          <t>Department</t>
        </is>
      </c>
      <c r="D1" s="2" t="inlineStr">
        <is>
          <t>Salary</t>
        </is>
      </c>
      <c r="E1" s="2" t="inlineStr">
        <is>
          <t>City</t>
        </is>
      </c>
      <c r="F1" s="2" t="inlineStr">
        <is>
          <t>Performance</t>
        </is>
      </c>
      <c r="G1" s="2" t="inlineStr">
        <is>
          <t>Status</t>
        </is>
      </c>
    </row>
    <row r="2">
      <c r="A2" s="3" t="n">
        <v>101</v>
      </c>
      <c r="B2" s="3" t="inlineStr">
        <is>
          <t>Aarav</t>
        </is>
      </c>
      <c r="C2" s="3" t="inlineStr">
        <is>
          <t>Sales</t>
        </is>
      </c>
      <c r="D2" s="4" t="n">
        <v>45000</v>
      </c>
      <c r="E2" s="3" t="inlineStr">
        <is>
          <t>Delhi</t>
        </is>
      </c>
      <c r="F2" s="5" t="n">
        <v>88</v>
      </c>
      <c r="G2" s="3">
        <f>IF(F2&gt;=70,"Pass","Fail")</f>
        <v/>
      </c>
    </row>
    <row r="3">
      <c r="A3" s="3" t="n">
        <v>102</v>
      </c>
      <c r="B3" s="3" t="inlineStr">
        <is>
          <t>Priya</t>
        </is>
      </c>
      <c r="C3" s="3" t="inlineStr">
        <is>
          <t>HR</t>
        </is>
      </c>
      <c r="D3" s="4" t="n">
        <v>52000</v>
      </c>
      <c r="E3" s="3" t="inlineStr">
        <is>
          <t>Lucknow</t>
        </is>
      </c>
      <c r="F3" s="5" t="n">
        <v>76</v>
      </c>
      <c r="G3" s="3">
        <f>IF(F3&gt;=70,"Pass","Fail")</f>
        <v/>
      </c>
    </row>
    <row r="4">
      <c r="A4" s="3" t="n">
        <v>103</v>
      </c>
      <c r="B4" s="3" t="inlineStr">
        <is>
          <t>Rahul</t>
        </is>
      </c>
      <c r="C4" s="3" t="inlineStr">
        <is>
          <t>IT</t>
        </is>
      </c>
      <c r="D4" s="4" t="n">
        <v>68000</v>
      </c>
      <c r="E4" s="3" t="inlineStr">
        <is>
          <t>Noida</t>
        </is>
      </c>
      <c r="F4" s="5" t="n">
        <v>92</v>
      </c>
      <c r="G4" s="3">
        <f>IF(F4&gt;=70,"Pass","Fail")</f>
        <v/>
      </c>
    </row>
    <row r="5">
      <c r="A5" s="3" t="n">
        <v>104</v>
      </c>
      <c r="B5" s="3" t="inlineStr">
        <is>
          <t>Sneha</t>
        </is>
      </c>
      <c r="C5" s="3" t="inlineStr">
        <is>
          <t>Sales</t>
        </is>
      </c>
      <c r="D5" s="4" t="n">
        <v>48000</v>
      </c>
      <c r="E5" s="3" t="inlineStr">
        <is>
          <t>Kanpur</t>
        </is>
      </c>
      <c r="F5" s="5" t="n">
        <v>68</v>
      </c>
      <c r="G5" s="3">
        <f>IF(F5&gt;=70,"Pass","Fail")</f>
        <v/>
      </c>
    </row>
    <row r="6">
      <c r="A6" s="3" t="n">
        <v>105</v>
      </c>
      <c r="B6" s="3" t="inlineStr">
        <is>
          <t>Aman</t>
        </is>
      </c>
      <c r="C6" s="3" t="inlineStr">
        <is>
          <t>IT</t>
        </is>
      </c>
      <c r="D6" s="4" t="n">
        <v>72000</v>
      </c>
      <c r="E6" s="3" t="inlineStr">
        <is>
          <t>Delhi</t>
        </is>
      </c>
      <c r="F6" s="5" t="n">
        <v>95</v>
      </c>
      <c r="G6" s="3">
        <f>IF(F6&gt;=70,"Pass","Fail")</f>
        <v/>
      </c>
    </row>
    <row r="7">
      <c r="A7" s="3" t="n">
        <v>106</v>
      </c>
      <c r="B7" s="3" t="inlineStr">
        <is>
          <t>Riya</t>
        </is>
      </c>
      <c r="C7" s="3" t="inlineStr">
        <is>
          <t>HR</t>
        </is>
      </c>
      <c r="D7" s="4" t="n">
        <v>55000</v>
      </c>
      <c r="E7" s="3" t="inlineStr">
        <is>
          <t>Agra</t>
        </is>
      </c>
      <c r="F7" s="5" t="n">
        <v>81</v>
      </c>
      <c r="G7" s="3">
        <f>IF(F7&gt;=70,"Pass","Fail")</f>
        <v/>
      </c>
    </row>
    <row r="8">
      <c r="A8" s="3" t="n">
        <v>107</v>
      </c>
      <c r="B8" s="3" t="inlineStr">
        <is>
          <t>Karan</t>
        </is>
      </c>
      <c r="C8" s="3" t="inlineStr">
        <is>
          <t>Finance</t>
        </is>
      </c>
      <c r="D8" s="4" t="n">
        <v>62000</v>
      </c>
      <c r="E8" s="3" t="inlineStr">
        <is>
          <t>Jaipur</t>
        </is>
      </c>
      <c r="F8" s="5" t="n">
        <v>73</v>
      </c>
      <c r="G8" s="3">
        <f>IF(F8&gt;=70,"Pass","Fail")</f>
        <v/>
      </c>
    </row>
    <row r="9">
      <c r="A9" s="3" t="n">
        <v>108</v>
      </c>
      <c r="B9" s="3" t="inlineStr">
        <is>
          <t>Neha</t>
        </is>
      </c>
      <c r="C9" s="3" t="inlineStr">
        <is>
          <t>Sales</t>
        </is>
      </c>
      <c r="D9" s="4" t="n">
        <v>51000</v>
      </c>
      <c r="E9" s="3" t="inlineStr">
        <is>
          <t>Delhi</t>
        </is>
      </c>
      <c r="F9" s="5" t="n">
        <v>89</v>
      </c>
      <c r="G9" s="3">
        <f>IF(F9&gt;=70,"Pass","Fail")</f>
        <v/>
      </c>
    </row>
    <row r="10">
      <c r="A10" s="3" t="n">
        <v>109</v>
      </c>
      <c r="B10" s="3" t="inlineStr">
        <is>
          <t>Vikram</t>
        </is>
      </c>
      <c r="C10" s="3" t="inlineStr">
        <is>
          <t>IT</t>
        </is>
      </c>
      <c r="D10" s="4" t="n">
        <v>75000</v>
      </c>
      <c r="E10" s="3" t="inlineStr">
        <is>
          <t>Noida</t>
        </is>
      </c>
      <c r="F10" s="5" t="n">
        <v>96</v>
      </c>
      <c r="G10" s="3">
        <f>IF(F10&gt;=70,"Pass","Fail")</f>
        <v/>
      </c>
    </row>
    <row r="11">
      <c r="A11" s="3" t="n">
        <v>110</v>
      </c>
      <c r="B11" s="3" t="inlineStr">
        <is>
          <t>Ananya</t>
        </is>
      </c>
      <c r="C11" s="3" t="inlineStr">
        <is>
          <t>Finance</t>
        </is>
      </c>
      <c r="D11" s="4" t="n">
        <v>58000</v>
      </c>
      <c r="E11" s="3" t="inlineStr">
        <is>
          <t>Agra</t>
        </is>
      </c>
      <c r="F11" s="5" t="n">
        <v>79</v>
      </c>
      <c r="G11" s="3">
        <f>IF(F11&gt;=70,"Pass","Fail")</f>
        <v/>
      </c>
    </row>
    <row r="12">
      <c r="A12" s="3" t="n">
        <v>111</v>
      </c>
      <c r="B12" s="3" t="inlineStr">
        <is>
          <t>Mohit</t>
        </is>
      </c>
      <c r="C12" s="3" t="inlineStr">
        <is>
          <t>Sales</t>
        </is>
      </c>
      <c r="D12" s="4" t="n">
        <v>43000</v>
      </c>
      <c r="E12" s="3" t="inlineStr">
        <is>
          <t>Kanpur</t>
        </is>
      </c>
      <c r="F12" s="5" t="n">
        <v>64</v>
      </c>
      <c r="G12" s="3">
        <f>IF(F12&gt;=70,"Pass","Fail")</f>
        <v/>
      </c>
    </row>
    <row r="13">
      <c r="A13" s="3" t="n">
        <v>112</v>
      </c>
      <c r="B13" s="3" t="inlineStr">
        <is>
          <t>Isha</t>
        </is>
      </c>
      <c r="C13" s="3" t="inlineStr">
        <is>
          <t>HR</t>
        </is>
      </c>
      <c r="D13" s="4" t="n">
        <v>60000</v>
      </c>
      <c r="E13" s="3" t="inlineStr">
        <is>
          <t>Lucknow</t>
        </is>
      </c>
      <c r="F13" s="5" t="n">
        <v>90</v>
      </c>
      <c r="G13" s="3">
        <f>IF(F13&gt;=70,"Pass","Fail")</f>
        <v/>
      </c>
    </row>
  </sheetData>
  <autoFilter ref="A1:G13"/>
  <conditionalFormatting sqref="F2:F13">
    <cfRule type="cellIs" priority="1" operator="greaterThanOrEqual" dxfId="0">
      <formula>90</formula>
    </cfRule>
    <cfRule type="cellIs" priority="2" operator="lessThan" dxfId="1">
      <formula>70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6" t="inlineStr">
        <is>
          <t>Employee ID</t>
        </is>
      </c>
      <c r="B1" s="6" t="inlineStr">
        <is>
          <t>Name</t>
        </is>
      </c>
      <c r="C1" s="6" t="inlineStr">
        <is>
          <t>Department</t>
        </is>
      </c>
      <c r="D1" s="6" t="inlineStr">
        <is>
          <t>Salary</t>
        </is>
      </c>
      <c r="E1" s="6" t="inlineStr">
        <is>
          <t>City</t>
        </is>
      </c>
      <c r="F1" s="6" t="inlineStr">
        <is>
          <t>Performance</t>
        </is>
      </c>
      <c r="G1" s="6" t="inlineStr">
        <is>
          <t>Status</t>
        </is>
      </c>
    </row>
    <row r="2">
      <c r="A2" t="n">
        <v>102</v>
      </c>
      <c r="B2" t="inlineStr">
        <is>
          <t>Priya</t>
        </is>
      </c>
      <c r="C2" t="inlineStr">
        <is>
          <t>HR</t>
        </is>
      </c>
      <c r="D2" s="7" t="n">
        <v>52000</v>
      </c>
      <c r="E2" t="inlineStr">
        <is>
          <t>Lucknow</t>
        </is>
      </c>
      <c r="F2" t="n">
        <v>76</v>
      </c>
      <c r="G2" t="inlineStr">
        <is>
          <t>Pass</t>
        </is>
      </c>
    </row>
    <row r="3">
      <c r="A3" t="n">
        <v>103</v>
      </c>
      <c r="B3" t="inlineStr">
        <is>
          <t>Rahul</t>
        </is>
      </c>
      <c r="C3" t="inlineStr">
        <is>
          <t>IT</t>
        </is>
      </c>
      <c r="D3" s="7" t="n">
        <v>68000</v>
      </c>
      <c r="E3" t="inlineStr">
        <is>
          <t>Noida</t>
        </is>
      </c>
      <c r="F3" t="n">
        <v>92</v>
      </c>
      <c r="G3" t="inlineStr">
        <is>
          <t>Pass</t>
        </is>
      </c>
    </row>
    <row r="4">
      <c r="A4" t="n">
        <v>105</v>
      </c>
      <c r="B4" t="inlineStr">
        <is>
          <t>Aman</t>
        </is>
      </c>
      <c r="C4" t="inlineStr">
        <is>
          <t>IT</t>
        </is>
      </c>
      <c r="D4" s="7" t="n">
        <v>72000</v>
      </c>
      <c r="E4" t="inlineStr">
        <is>
          <t>Delhi</t>
        </is>
      </c>
      <c r="F4" t="n">
        <v>95</v>
      </c>
      <c r="G4" t="inlineStr">
        <is>
          <t>Pass</t>
        </is>
      </c>
    </row>
    <row r="5">
      <c r="A5" t="n">
        <v>106</v>
      </c>
      <c r="B5" t="inlineStr">
        <is>
          <t>Riya</t>
        </is>
      </c>
      <c r="C5" t="inlineStr">
        <is>
          <t>HR</t>
        </is>
      </c>
      <c r="D5" s="7" t="n">
        <v>55000</v>
      </c>
      <c r="E5" t="inlineStr">
        <is>
          <t>Agra</t>
        </is>
      </c>
      <c r="F5" t="n">
        <v>81</v>
      </c>
      <c r="G5" t="inlineStr">
        <is>
          <t>Pass</t>
        </is>
      </c>
    </row>
    <row r="6">
      <c r="A6" t="n">
        <v>107</v>
      </c>
      <c r="B6" t="inlineStr">
        <is>
          <t>Karan</t>
        </is>
      </c>
      <c r="C6" t="inlineStr">
        <is>
          <t>Finance</t>
        </is>
      </c>
      <c r="D6" s="7" t="n">
        <v>62000</v>
      </c>
      <c r="E6" t="inlineStr">
        <is>
          <t>Jaipur</t>
        </is>
      </c>
      <c r="F6" t="n">
        <v>73</v>
      </c>
      <c r="G6" t="inlineStr">
        <is>
          <t>Pass</t>
        </is>
      </c>
    </row>
    <row r="7">
      <c r="A7" t="n">
        <v>108</v>
      </c>
      <c r="B7" t="inlineStr">
        <is>
          <t>Neha</t>
        </is>
      </c>
      <c r="C7" t="inlineStr">
        <is>
          <t>Sales</t>
        </is>
      </c>
      <c r="D7" s="7" t="n">
        <v>51000</v>
      </c>
      <c r="E7" t="inlineStr">
        <is>
          <t>Delhi</t>
        </is>
      </c>
      <c r="F7" t="n">
        <v>89</v>
      </c>
      <c r="G7" t="inlineStr">
        <is>
          <t>Pass</t>
        </is>
      </c>
    </row>
    <row r="8">
      <c r="A8" t="n">
        <v>109</v>
      </c>
      <c r="B8" t="inlineStr">
        <is>
          <t>Vikram</t>
        </is>
      </c>
      <c r="C8" t="inlineStr">
        <is>
          <t>IT</t>
        </is>
      </c>
      <c r="D8" s="7" t="n">
        <v>75000</v>
      </c>
      <c r="E8" t="inlineStr">
        <is>
          <t>Noida</t>
        </is>
      </c>
      <c r="F8" t="n">
        <v>96</v>
      </c>
      <c r="G8" t="inlineStr">
        <is>
          <t>Pass</t>
        </is>
      </c>
    </row>
    <row r="9">
      <c r="A9" t="n">
        <v>110</v>
      </c>
      <c r="B9" t="inlineStr">
        <is>
          <t>Ananya</t>
        </is>
      </c>
      <c r="C9" t="inlineStr">
        <is>
          <t>Finance</t>
        </is>
      </c>
      <c r="D9" s="7" t="n">
        <v>58000</v>
      </c>
      <c r="E9" t="inlineStr">
        <is>
          <t>Agra</t>
        </is>
      </c>
      <c r="F9" t="n">
        <v>79</v>
      </c>
      <c r="G9" t="inlineStr">
        <is>
          <t>Pass</t>
        </is>
      </c>
    </row>
    <row r="10">
      <c r="A10" t="n">
        <v>112</v>
      </c>
      <c r="B10" t="inlineStr">
        <is>
          <t>Isha</t>
        </is>
      </c>
      <c r="C10" t="inlineStr">
        <is>
          <t>HR</t>
        </is>
      </c>
      <c r="D10" s="7" t="n">
        <v>60000</v>
      </c>
      <c r="E10" t="inlineStr">
        <is>
          <t>Lucknow</t>
        </is>
      </c>
      <c r="F10" t="n">
        <v>90</v>
      </c>
      <c r="G10" t="inlineStr">
        <is>
          <t>Pass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2" customWidth="1" min="3" max="3"/>
    <col width="70" customWidth="1" min="4" max="4"/>
  </cols>
  <sheetData>
    <row r="1">
      <c r="A1" s="1" t="inlineStr">
        <is>
          <t>Function</t>
        </is>
      </c>
      <c r="B1" s="1" t="inlineStr">
        <is>
          <t>Formula</t>
        </is>
      </c>
      <c r="C1" s="1" t="inlineStr">
        <is>
          <t>Result</t>
        </is>
      </c>
      <c r="D1" s="1" t="inlineStr">
        <is>
          <t>Purpose</t>
        </is>
      </c>
    </row>
    <row r="2">
      <c r="A2" t="inlineStr">
        <is>
          <t>IF()</t>
        </is>
      </c>
      <c r="B2">
        <f>IF('Employee Data'!F2&gt;=70,"Pass","Fail")</f>
        <v/>
      </c>
      <c r="C2">
        <f>IF('Employee Data'!F2&gt;=70,"Pass","Fail")</f>
        <v/>
      </c>
      <c r="D2" t="inlineStr">
        <is>
          <t>Checks a condition and returns one value if TRUE and another if FALSE.</t>
        </is>
      </c>
    </row>
    <row r="3">
      <c r="A3" t="inlineStr">
        <is>
          <t>COUNTIF()</t>
        </is>
      </c>
      <c r="B3">
        <f>COUNTIF('Employee Data'!G2:G13,"Pass")</f>
        <v/>
      </c>
      <c r="C3">
        <f>COUNTIF('Employee Data'!G2:G13,"Pass")</f>
        <v/>
      </c>
      <c r="D3" t="inlineStr">
        <is>
          <t>Counts cells that meet a specified condition.</t>
        </is>
      </c>
    </row>
    <row r="4">
      <c r="A4" t="inlineStr">
        <is>
          <t>SUMIF()</t>
        </is>
      </c>
      <c r="B4">
        <f>SUMIF('Employee Data'!C2:C13,"IT",'Employee Data'!D2:D13)</f>
        <v/>
      </c>
      <c r="C4" s="7">
        <f>SUMIF('Employee Data'!C2:C13,"IT",'Employee Data'!D2:D13)</f>
        <v/>
      </c>
      <c r="D4" t="inlineStr">
        <is>
          <t>Adds values that meet a specified condition.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0" customWidth="1" min="6" max="6"/>
    <col width="20" customWidth="1" min="7" max="7"/>
    <col width="20" customWidth="1" min="8" max="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F1" s="1" t="inlineStr">
        <is>
          <t>Lookup ID</t>
        </is>
      </c>
      <c r="G1" s="1" t="inlineStr">
        <is>
          <t>VLOOKUP Name</t>
        </is>
      </c>
      <c r="H1" s="1" t="inlineStr">
        <is>
          <t>XLOOKUP Salary</t>
        </is>
      </c>
    </row>
    <row r="2">
      <c r="A2" t="n">
        <v>101</v>
      </c>
      <c r="B2" t="inlineStr">
        <is>
          <t>Aarav</t>
        </is>
      </c>
      <c r="C2" t="inlineStr">
        <is>
          <t>Sales</t>
        </is>
      </c>
      <c r="D2" s="7" t="n">
        <v>45000</v>
      </c>
      <c r="F2" t="n">
        <v>105</v>
      </c>
      <c r="G2">
        <f>VLOOKUP(F2,A2:D13,2,FALSE)</f>
        <v/>
      </c>
      <c r="H2" s="7">
        <f>XLOOKUP(F2,A2:A13,D2:D13,"Not Found")</f>
        <v/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s="7" t="n">
        <v>52000</v>
      </c>
    </row>
    <row r="4">
      <c r="A4" t="n">
        <v>103</v>
      </c>
      <c r="B4" t="inlineStr">
        <is>
          <t>Rahul</t>
        </is>
      </c>
      <c r="C4" t="inlineStr">
        <is>
          <t>IT</t>
        </is>
      </c>
      <c r="D4" s="7" t="n">
        <v>68000</v>
      </c>
    </row>
    <row r="5">
      <c r="A5" t="n">
        <v>104</v>
      </c>
      <c r="B5" t="inlineStr">
        <is>
          <t>Sneha</t>
        </is>
      </c>
      <c r="C5" t="inlineStr">
        <is>
          <t>Sales</t>
        </is>
      </c>
      <c r="D5" s="7" t="n">
        <v>48000</v>
      </c>
    </row>
    <row r="6">
      <c r="A6" t="n">
        <v>105</v>
      </c>
      <c r="B6" t="inlineStr">
        <is>
          <t>Aman</t>
        </is>
      </c>
      <c r="C6" t="inlineStr">
        <is>
          <t>IT</t>
        </is>
      </c>
      <c r="D6" s="7" t="n">
        <v>72000</v>
      </c>
    </row>
    <row r="7">
      <c r="A7" t="n">
        <v>106</v>
      </c>
      <c r="B7" t="inlineStr">
        <is>
          <t>Riya</t>
        </is>
      </c>
      <c r="C7" t="inlineStr">
        <is>
          <t>HR</t>
        </is>
      </c>
      <c r="D7" s="7" t="n">
        <v>55000</v>
      </c>
    </row>
    <row r="8">
      <c r="A8" t="n">
        <v>107</v>
      </c>
      <c r="B8" t="inlineStr">
        <is>
          <t>Karan</t>
        </is>
      </c>
      <c r="C8" t="inlineStr">
        <is>
          <t>Finance</t>
        </is>
      </c>
      <c r="D8" s="7" t="n">
        <v>62000</v>
      </c>
    </row>
    <row r="9">
      <c r="A9" t="n">
        <v>108</v>
      </c>
      <c r="B9" t="inlineStr">
        <is>
          <t>Neha</t>
        </is>
      </c>
      <c r="C9" t="inlineStr">
        <is>
          <t>Sales</t>
        </is>
      </c>
      <c r="D9" s="7" t="n">
        <v>51000</v>
      </c>
    </row>
    <row r="10">
      <c r="A10" t="n">
        <v>109</v>
      </c>
      <c r="B10" t="inlineStr">
        <is>
          <t>Vikram</t>
        </is>
      </c>
      <c r="C10" t="inlineStr">
        <is>
          <t>IT</t>
        </is>
      </c>
      <c r="D10" s="7" t="n">
        <v>75000</v>
      </c>
    </row>
    <row r="11">
      <c r="A11" t="n">
        <v>110</v>
      </c>
      <c r="B11" t="inlineStr">
        <is>
          <t>Ananya</t>
        </is>
      </c>
      <c r="C11" t="inlineStr">
        <is>
          <t>Finance</t>
        </is>
      </c>
      <c r="D11" s="7" t="n">
        <v>58000</v>
      </c>
    </row>
    <row r="12">
      <c r="A12" t="n">
        <v>111</v>
      </c>
      <c r="B12" t="inlineStr">
        <is>
          <t>Mohit</t>
        </is>
      </c>
      <c r="C12" t="inlineStr">
        <is>
          <t>Sales</t>
        </is>
      </c>
      <c r="D12" s="7" t="n">
        <v>43000</v>
      </c>
    </row>
    <row r="13">
      <c r="A13" t="n">
        <v>112</v>
      </c>
      <c r="B13" t="inlineStr">
        <is>
          <t>Isha</t>
        </is>
      </c>
      <c r="C13" t="inlineStr">
        <is>
          <t>HR</t>
        </is>
      </c>
      <c r="D13" s="7" t="n">
        <v>60000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Sale ID</t>
        </is>
      </c>
      <c r="B1" s="1" t="inlineStr">
        <is>
          <t>Employee ID</t>
        </is>
      </c>
      <c r="C1" s="1" t="inlineStr">
        <is>
          <t>Product ID</t>
        </is>
      </c>
      <c r="D1" s="1" t="inlineStr">
        <is>
          <t>Quantity</t>
        </is>
      </c>
      <c r="E1" s="1" t="inlineStr">
        <is>
          <t>Sales Amount</t>
        </is>
      </c>
    </row>
    <row r="2">
      <c r="A2" t="n">
        <v>1001</v>
      </c>
      <c r="B2" t="n">
        <v>101</v>
      </c>
      <c r="C2" t="inlineStr">
        <is>
          <t>P001</t>
        </is>
      </c>
      <c r="D2" s="8" t="n">
        <v>1</v>
      </c>
      <c r="E2" s="7" t="n">
        <v>55000</v>
      </c>
    </row>
    <row r="3">
      <c r="A3" t="n">
        <v>1002</v>
      </c>
      <c r="B3" t="n">
        <v>103</v>
      </c>
      <c r="C3" t="inlineStr">
        <is>
          <t>P002</t>
        </is>
      </c>
      <c r="D3" s="8" t="n">
        <v>3</v>
      </c>
      <c r="E3" s="7" t="n">
        <v>2400</v>
      </c>
    </row>
    <row r="4">
      <c r="A4" t="n">
        <v>1003</v>
      </c>
      <c r="B4" t="n">
        <v>104</v>
      </c>
      <c r="C4" t="inlineStr">
        <is>
          <t>P004</t>
        </is>
      </c>
      <c r="D4" s="8" t="n">
        <v>2</v>
      </c>
      <c r="E4" s="7" t="n">
        <v>15000</v>
      </c>
    </row>
    <row r="5">
      <c r="A5" t="n">
        <v>1004</v>
      </c>
      <c r="B5" t="n">
        <v>105</v>
      </c>
      <c r="C5" t="inlineStr">
        <is>
          <t>P006</t>
        </is>
      </c>
      <c r="D5" s="8" t="n">
        <v>2</v>
      </c>
      <c r="E5" s="7" t="n">
        <v>36000</v>
      </c>
    </row>
    <row r="6">
      <c r="A6" t="n">
        <v>1005</v>
      </c>
      <c r="B6" t="n">
        <v>108</v>
      </c>
      <c r="C6" t="inlineStr">
        <is>
          <t>P003</t>
        </is>
      </c>
      <c r="D6" s="8" t="n">
        <v>5</v>
      </c>
      <c r="E6" s="7" t="n">
        <v>7500</v>
      </c>
    </row>
    <row r="7">
      <c r="A7" t="n">
        <v>1006</v>
      </c>
      <c r="B7" t="n">
        <v>109</v>
      </c>
      <c r="C7" t="inlineStr">
        <is>
          <t>P005</t>
        </is>
      </c>
      <c r="D7" s="8" t="n">
        <v>1</v>
      </c>
      <c r="E7" s="7" t="n">
        <v>12000</v>
      </c>
    </row>
    <row r="8">
      <c r="A8" t="n">
        <v>1007</v>
      </c>
      <c r="B8" t="n">
        <v>111</v>
      </c>
      <c r="C8" t="inlineStr">
        <is>
          <t>P002</t>
        </is>
      </c>
      <c r="D8" s="8" t="n">
        <v>4</v>
      </c>
      <c r="E8" s="7" t="n">
        <v>3200</v>
      </c>
    </row>
    <row r="9">
      <c r="A9" t="n">
        <v>1008</v>
      </c>
      <c r="B9" t="n">
        <v>102</v>
      </c>
      <c r="C9" t="inlineStr">
        <is>
          <t>P004</t>
        </is>
      </c>
      <c r="D9" s="8" t="n">
        <v>1</v>
      </c>
      <c r="E9" s="7" t="n">
        <v>7500</v>
      </c>
    </row>
    <row r="10">
      <c r="A10" t="n">
        <v>1009</v>
      </c>
      <c r="B10" t="n">
        <v>106</v>
      </c>
      <c r="C10" t="inlineStr">
        <is>
          <t>P006</t>
        </is>
      </c>
      <c r="D10" s="8" t="n">
        <v>1</v>
      </c>
      <c r="E10" s="7" t="n">
        <v>18000</v>
      </c>
    </row>
    <row r="11">
      <c r="A11" t="n">
        <v>1010</v>
      </c>
      <c r="B11" t="n">
        <v>110</v>
      </c>
      <c r="C11" t="inlineStr">
        <is>
          <t>P005</t>
        </is>
      </c>
      <c r="D11" s="8" t="n">
        <v>2</v>
      </c>
      <c r="E11" s="7" t="n">
        <v>24000</v>
      </c>
    </row>
    <row r="12">
      <c r="A12" t="n">
        <v>1011</v>
      </c>
      <c r="B12" t="n">
        <v>112</v>
      </c>
      <c r="C12" t="inlineStr">
        <is>
          <t>P001</t>
        </is>
      </c>
      <c r="D12" s="8" t="n">
        <v>1</v>
      </c>
      <c r="E12" s="7" t="n">
        <v>55000</v>
      </c>
    </row>
    <row r="13">
      <c r="A13" t="n">
        <v>1012</v>
      </c>
      <c r="B13" t="n">
        <v>107</v>
      </c>
      <c r="C13" t="inlineStr">
        <is>
          <t>P003</t>
        </is>
      </c>
      <c r="D13" s="8" t="n">
        <v>8</v>
      </c>
      <c r="E13" s="7" t="n">
        <v>12000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Product ID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s="7" t="n">
        <v>55000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Electronics</t>
        </is>
      </c>
      <c r="D3" s="7" t="n">
        <v>800</v>
      </c>
    </row>
    <row r="4">
      <c r="A4" t="inlineStr">
        <is>
          <t>P003</t>
        </is>
      </c>
      <c r="B4" t="inlineStr">
        <is>
          <t>Keyboard</t>
        </is>
      </c>
      <c r="C4" t="inlineStr">
        <is>
          <t>Electronics</t>
        </is>
      </c>
      <c r="D4" s="7" t="n">
        <v>1500</v>
      </c>
    </row>
    <row r="5">
      <c r="A5" t="inlineStr">
        <is>
          <t>P004</t>
        </is>
      </c>
      <c r="B5" t="inlineStr">
        <is>
          <t>Office Chair</t>
        </is>
      </c>
      <c r="C5" t="inlineStr">
        <is>
          <t>Furniture</t>
        </is>
      </c>
      <c r="D5" s="7" t="n">
        <v>7500</v>
      </c>
    </row>
    <row r="6">
      <c r="A6" t="inlineStr">
        <is>
          <t>P005</t>
        </is>
      </c>
      <c r="B6" t="inlineStr">
        <is>
          <t>Desk</t>
        </is>
      </c>
      <c r="C6" t="inlineStr">
        <is>
          <t>Furniture</t>
        </is>
      </c>
      <c r="D6" s="7" t="n">
        <v>12000</v>
      </c>
    </row>
    <row r="7">
      <c r="A7" t="inlineStr">
        <is>
          <t>P006</t>
        </is>
      </c>
      <c r="B7" t="inlineStr">
        <is>
          <t>Monitor</t>
        </is>
      </c>
      <c r="C7" t="inlineStr">
        <is>
          <t>Electronics</t>
        </is>
      </c>
      <c r="D7" s="7" t="n">
        <v>18000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Department</t>
        </is>
      </c>
      <c r="B1" s="1" t="inlineStr">
        <is>
          <t>Employee Count</t>
        </is>
      </c>
      <c r="C1" s="1" t="inlineStr">
        <is>
          <t>Average Salary</t>
        </is>
      </c>
      <c r="D1" s="1" t="inlineStr">
        <is>
          <t>Total Salary</t>
        </is>
      </c>
    </row>
    <row r="2">
      <c r="A2" t="inlineStr">
        <is>
          <t>Sales</t>
        </is>
      </c>
      <c r="B2">
        <f>COUNTIF('Employee Data'!C2:C13,A2)</f>
        <v/>
      </c>
      <c r="C2" s="7">
        <f>IFERROR(AVERAGEIF('Employee Data'!C2:C13,A2,'Employee Data'!D2:D13),0)</f>
        <v/>
      </c>
      <c r="D2" s="7">
        <f>SUMIF('Employee Data'!C2:C13,A2,'Employee Data'!D2:D13)</f>
        <v/>
      </c>
    </row>
    <row r="3">
      <c r="A3" t="inlineStr">
        <is>
          <t>HR</t>
        </is>
      </c>
      <c r="B3">
        <f>COUNTIF('Employee Data'!C2:C13,A3)</f>
        <v/>
      </c>
      <c r="C3" s="7">
        <f>IFERROR(AVERAGEIF('Employee Data'!C2:C13,A3,'Employee Data'!D2:D13),0)</f>
        <v/>
      </c>
      <c r="D3" s="7">
        <f>SUMIF('Employee Data'!C2:C13,A3,'Employee Data'!D2:D13)</f>
        <v/>
      </c>
    </row>
    <row r="4">
      <c r="A4" t="inlineStr">
        <is>
          <t>IT</t>
        </is>
      </c>
      <c r="B4">
        <f>COUNTIF('Employee Data'!C2:C13,A4)</f>
        <v/>
      </c>
      <c r="C4" s="7">
        <f>IFERROR(AVERAGEIF('Employee Data'!C2:C13,A4,'Employee Data'!D2:D13),0)</f>
        <v/>
      </c>
      <c r="D4" s="7">
        <f>SUMIF('Employee Data'!C2:C13,A4,'Employee Data'!D2:D13)</f>
        <v/>
      </c>
    </row>
    <row r="5">
      <c r="A5" t="inlineStr">
        <is>
          <t>Finance</t>
        </is>
      </c>
      <c r="B5">
        <f>COUNTIF('Employee Data'!C2:C13,A5)</f>
        <v/>
      </c>
      <c r="C5" s="7">
        <f>IFERROR(AVERAGEIF('Employee Data'!C2:C13,A5,'Employee Data'!D2:D13),0)</f>
        <v/>
      </c>
      <c r="D5" s="7">
        <f>SUMIF('Employee Data'!C2:C13,A5,'Employee Data'!D2:D13)</f>
        <v/>
      </c>
    </row>
    <row r="6">
      <c r="A6" t="inlineStr">
        <is>
          <t>Marketing</t>
        </is>
      </c>
      <c r="B6">
        <f>COUNTIF('Employee Data'!C2:C13,A6)</f>
        <v/>
      </c>
      <c r="C6" s="7">
        <f>IFERROR(AVERAGEIF('Employee Data'!C2:C13,A6,'Employee Data'!D2:D13),0)</f>
        <v/>
      </c>
      <c r="D6" s="7">
        <f>SUMIF('Employee Data'!C2:C13,A6,'Employee Data'!D2:D13)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>
        <f>COUNTA('Employee Data'!A2:A13)</f>
        <v/>
      </c>
    </row>
    <row r="3">
      <c r="A3" t="inlineStr">
        <is>
          <t>Average Salary</t>
        </is>
      </c>
      <c r="B3" s="7">
        <f>AVERAGE('Employee Data'!D2:D13)</f>
        <v/>
      </c>
    </row>
    <row r="4">
      <c r="A4" t="inlineStr">
        <is>
          <t>Highest Salary</t>
        </is>
      </c>
      <c r="B4" s="7">
        <f>MAX('Employee Data'!D2:D13)</f>
        <v/>
      </c>
    </row>
    <row r="5">
      <c r="A5" t="inlineStr">
        <is>
          <t>Lowest Salary</t>
        </is>
      </c>
      <c r="B5" s="7">
        <f>MIN('Employee Data'!D2:D13)</f>
        <v/>
      </c>
    </row>
    <row r="6">
      <c r="A6" t="inlineStr">
        <is>
          <t>Total Salary</t>
        </is>
      </c>
      <c r="B6" s="7">
        <f>SUM('Employee Data'!D2:D13)</f>
        <v/>
      </c>
    </row>
    <row r="7">
      <c r="A7" t="inlineStr">
        <is>
          <t>Passed</t>
        </is>
      </c>
      <c r="B7">
        <f>COUNTIF('Employee Data'!G2:G13,"Pass")</f>
        <v/>
      </c>
    </row>
    <row r="8">
      <c r="A8" t="inlineStr">
        <is>
          <t>Failed</t>
        </is>
      </c>
      <c r="B8">
        <f>COUNTIF('Employee Data'!G2:G13,"Fail")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2026-10-04T06:06:12Z</dcterms:created>
  <dcterms:modified xmlns:dcterms="http://purl.org/dc/terms/" xmlns:xsi="http://www.w3.org/2001/XMLSchema-instance" xsi:type="dcterms:W3CDTF">2026-10-04T06:06:12Z</dcterms:modified>
</cp:coreProperties>
</file>